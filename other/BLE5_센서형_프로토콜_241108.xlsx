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S\14. DHP CCM\Ver1.0\Q(DOC)\"/>
    </mc:Choice>
  </mc:AlternateContent>
  <xr:revisionPtr revIDLastSave="0" documentId="13_ncr:1_{C98CF7DE-925F-44DE-A769-92552CF1DC3D}" xr6:coauthVersionLast="47" xr6:coauthVersionMax="47" xr10:uidLastSave="{00000000-0000-0000-0000-000000000000}"/>
  <bookViews>
    <workbookView xWindow="-38520" yWindow="-120" windowWidth="38640" windowHeight="24240" xr2:uid="{69A01BDC-C589-46BE-B9A3-A23DC4BB6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1" l="1"/>
  <c r="E44" i="1"/>
  <c r="E45" i="1" s="1"/>
  <c r="D44" i="1"/>
  <c r="D45" i="1" s="1"/>
  <c r="C44" i="1"/>
  <c r="B44" i="1"/>
  <c r="B45" i="1" s="1"/>
  <c r="E37" i="1"/>
  <c r="E38" i="1" s="1"/>
  <c r="D37" i="1"/>
  <c r="D38" i="1" s="1"/>
  <c r="C37" i="1"/>
  <c r="C38" i="1" s="1"/>
  <c r="B37" i="1"/>
  <c r="B38" i="1" s="1"/>
  <c r="E28" i="1"/>
  <c r="E29" i="1" s="1"/>
  <c r="D28" i="1"/>
  <c r="D29" i="1" s="1"/>
  <c r="C28" i="1"/>
  <c r="C29" i="1" s="1"/>
  <c r="B28" i="1"/>
  <c r="B29" i="1" s="1"/>
  <c r="K13" i="1"/>
  <c r="J13" i="1"/>
  <c r="I13" i="1"/>
  <c r="H13" i="1"/>
  <c r="G13" i="1"/>
  <c r="F13" i="1"/>
  <c r="E13" i="1"/>
  <c r="D13" i="1"/>
  <c r="C13" i="1"/>
  <c r="B12" i="1"/>
  <c r="B13" i="1" s="1"/>
  <c r="K11" i="1"/>
  <c r="J11" i="1"/>
  <c r="I11" i="1"/>
  <c r="H11" i="1"/>
  <c r="G11" i="1"/>
  <c r="F11" i="1"/>
  <c r="E11" i="1"/>
  <c r="D11" i="1"/>
  <c r="C11" i="1"/>
  <c r="E5" i="1"/>
  <c r="D5" i="1"/>
  <c r="C5" i="1"/>
  <c r="E6" i="1" l="1"/>
  <c r="D6" i="1"/>
  <c r="C6" i="1"/>
  <c r="B5" i="1"/>
  <c r="B6" i="1" s="1"/>
  <c r="I22" i="1"/>
  <c r="I20" i="1"/>
  <c r="K22" i="1"/>
  <c r="J22" i="1"/>
  <c r="K20" i="1"/>
  <c r="J20" i="1"/>
  <c r="G22" i="1"/>
  <c r="F22" i="1"/>
  <c r="E22" i="1"/>
  <c r="G20" i="1"/>
  <c r="F20" i="1"/>
  <c r="E20" i="1"/>
  <c r="D22" i="1"/>
  <c r="D20" i="1"/>
  <c r="C22" i="1"/>
  <c r="C20" i="1"/>
  <c r="H22" i="1"/>
  <c r="B21" i="1"/>
  <c r="B22" i="1" s="1"/>
  <c r="H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NJM</author>
  </authors>
  <commentList>
    <comment ref="C12" authorId="0" shapeId="0" xr:uid="{A88E6848-C527-4BEF-8778-E58458FB057F}">
      <text>
        <r>
          <rPr>
            <b/>
            <sz val="9"/>
            <color indexed="81"/>
            <rFont val="Tahoma"/>
            <family val="2"/>
          </rPr>
          <t>100:100%
...
    1:    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 xr:uid="{171894BB-AF6B-4455-9141-5E782214F124}">
      <text>
        <r>
          <rPr>
            <b/>
            <sz val="9"/>
            <color indexed="81"/>
            <rFont val="Tahoma"/>
            <family val="2"/>
          </rPr>
          <t>100:100%
...
    0:   0%</t>
        </r>
      </text>
    </comment>
    <comment ref="F12" authorId="0" shapeId="0" xr:uid="{1CCFEE86-3546-42DE-9FFB-B9B4D772778B}">
      <text>
        <r>
          <rPr>
            <b/>
            <sz val="9"/>
            <color indexed="81"/>
            <rFont val="Tahoma"/>
            <family val="2"/>
          </rPr>
          <t xml:space="preserve">
0x0001: 1</t>
        </r>
        <r>
          <rPr>
            <b/>
            <sz val="9"/>
            <color indexed="81"/>
            <rFont val="돋움"/>
            <family val="3"/>
            <charset val="129"/>
          </rPr>
          <t xml:space="preserve">초
</t>
        </r>
        <r>
          <rPr>
            <b/>
            <sz val="9"/>
            <color indexed="81"/>
            <rFont val="Tahoma"/>
            <family val="2"/>
          </rPr>
          <t>0x0002: 3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
...
0x000a: 10</t>
        </r>
        <r>
          <rPr>
            <b/>
            <sz val="9"/>
            <color indexed="81"/>
            <rFont val="돋움"/>
            <family val="3"/>
            <charset val="129"/>
          </rPr>
          <t xml:space="preserve">초
</t>
        </r>
        <r>
          <rPr>
            <b/>
            <sz val="9"/>
            <color indexed="81"/>
            <rFont val="Tahoma"/>
            <family val="2"/>
          </rPr>
          <t>…
0xffff: 65,535</t>
        </r>
        <r>
          <rPr>
            <b/>
            <sz val="9"/>
            <color indexed="81"/>
            <rFont val="돋움"/>
            <family val="3"/>
            <charset val="129"/>
          </rPr>
          <t>초</t>
        </r>
      </text>
    </comment>
    <comment ref="H12" authorId="1" shapeId="0" xr:uid="{AC0DE33D-6D4C-4A2C-9D5B-789AA03AC4A2}">
      <text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OFF, </t>
        </r>
        <r>
          <rPr>
            <b/>
            <sz val="9"/>
            <color indexed="81"/>
            <rFont val="돋움"/>
            <family val="3"/>
            <charset val="129"/>
          </rPr>
          <t>밝기만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인체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 xml:space="preserve">(master) 
2 : </t>
        </r>
        <r>
          <rPr>
            <b/>
            <sz val="9"/>
            <color indexed="81"/>
            <rFont val="돋움"/>
            <family val="3"/>
            <charset val="129"/>
          </rPr>
          <t>인체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>(slave)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>(master)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4 : </t>
        </r>
        <r>
          <rPr>
            <b/>
            <sz val="9"/>
            <color indexed="81"/>
            <rFont val="돋움"/>
            <family val="3"/>
            <charset val="129"/>
          </rPr>
          <t>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>(slave)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5 : </t>
        </r>
        <r>
          <rPr>
            <b/>
            <sz val="9"/>
            <color indexed="81"/>
            <rFont val="돋움"/>
            <family val="3"/>
            <charset val="129"/>
          </rPr>
          <t>인체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</text>
    </comment>
    <comment ref="I12" authorId="0" shapeId="0" xr:uid="{44570109-11B6-47D3-9D3E-4AA41576CDF5}">
      <text>
        <r>
          <rPr>
            <b/>
            <sz val="9"/>
            <color indexed="81"/>
            <rFont val="돋움"/>
            <family val="3"/>
            <charset val="129"/>
          </rPr>
          <t>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
1: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민감</t>
        </r>
        <r>
          <rPr>
            <b/>
            <sz val="9"/>
            <color indexed="81"/>
            <rFont val="Tahoma"/>
            <family val="2"/>
          </rPr>
          <t xml:space="preserve">
…...
5: </t>
        </r>
        <r>
          <rPr>
            <b/>
            <sz val="9"/>
            <color indexed="81"/>
            <rFont val="돋움"/>
            <family val="3"/>
            <charset val="129"/>
          </rPr>
          <t xml:space="preserve">보통
</t>
        </r>
        <r>
          <rPr>
            <b/>
            <sz val="9"/>
            <color indexed="81"/>
            <rFont val="Tahoma"/>
            <family val="2"/>
          </rPr>
          <t>…....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10: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둔감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1" shapeId="0" xr:uid="{D40A074D-6387-4ED3-95C5-F4733848A9F3}">
      <text>
        <r>
          <rPr>
            <b/>
            <sz val="9"/>
            <color indexed="81"/>
            <rFont val="Tahoma"/>
            <family val="2"/>
          </rPr>
          <t xml:space="preserve">1: 10 lux
2: 20 lux
….
10: 100 lux
...
100: 1000 lux
...
255: 2550 lux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1" shapeId="0" xr:uid="{4A3CDCB2-88EA-4AEC-9401-3C406B3E1F8C}">
      <text>
        <r>
          <rPr>
            <b/>
            <sz val="9"/>
            <color indexed="81"/>
            <rFont val="Tahoma"/>
            <family val="2"/>
          </rPr>
          <t xml:space="preserve">1: 10 lux
2: 20 lux
….
10: 100 lux
...
100: 1000 lux
...
255: 2550 lux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0" shapeId="0" xr:uid="{26DA4805-6DA7-413E-BC8B-796F403E8647}">
      <text>
        <r>
          <rPr>
            <b/>
            <sz val="9"/>
            <color indexed="81"/>
            <rFont val="Tahoma"/>
            <family val="2"/>
          </rPr>
          <t>100:100%
...
    1:    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 shapeId="0" xr:uid="{D8C7BAFF-5BC8-4F02-A331-EE0E850A9025}">
      <text>
        <r>
          <rPr>
            <b/>
            <sz val="9"/>
            <color indexed="81"/>
            <rFont val="Tahoma"/>
            <family val="2"/>
          </rPr>
          <t>100:100%
...
    0:    0%</t>
        </r>
      </text>
    </comment>
    <comment ref="F21" authorId="0" shapeId="0" xr:uid="{2FCD3214-4B59-4D03-BF4E-45796FF57521}">
      <text>
        <r>
          <rPr>
            <b/>
            <sz val="9"/>
            <color indexed="81"/>
            <rFont val="Tahoma"/>
            <family val="2"/>
          </rPr>
          <t xml:space="preserve">
0x0001: 1</t>
        </r>
        <r>
          <rPr>
            <b/>
            <sz val="9"/>
            <color indexed="81"/>
            <rFont val="돋움"/>
            <family val="3"/>
            <charset val="129"/>
          </rPr>
          <t xml:space="preserve">초
</t>
        </r>
        <r>
          <rPr>
            <b/>
            <sz val="9"/>
            <color indexed="81"/>
            <rFont val="Tahoma"/>
            <family val="2"/>
          </rPr>
          <t>0x0002: 3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
...
0x000a: 10</t>
        </r>
        <r>
          <rPr>
            <b/>
            <sz val="9"/>
            <color indexed="81"/>
            <rFont val="돋움"/>
            <family val="3"/>
            <charset val="129"/>
          </rPr>
          <t xml:space="preserve">초
</t>
        </r>
        <r>
          <rPr>
            <b/>
            <sz val="9"/>
            <color indexed="81"/>
            <rFont val="Tahoma"/>
            <family val="2"/>
          </rPr>
          <t>…
0xffff: 65,535</t>
        </r>
        <r>
          <rPr>
            <b/>
            <sz val="9"/>
            <color indexed="81"/>
            <rFont val="돋움"/>
            <family val="3"/>
            <charset val="129"/>
          </rPr>
          <t>초</t>
        </r>
      </text>
    </comment>
    <comment ref="H21" authorId="1" shapeId="0" xr:uid="{28465860-03FD-44B6-BCB9-DF06DC163FC6}">
      <text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OFF, </t>
        </r>
        <r>
          <rPr>
            <b/>
            <sz val="9"/>
            <color indexed="81"/>
            <rFont val="돋움"/>
            <family val="3"/>
            <charset val="129"/>
          </rPr>
          <t>밝기만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인체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>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모드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인체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밝기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모드</t>
        </r>
      </text>
    </comment>
    <comment ref="I21" authorId="0" shapeId="0" xr:uid="{6A7C2678-6300-4E8F-895B-6D71D9F3D523}">
      <text>
        <r>
          <rPr>
            <b/>
            <sz val="9"/>
            <color indexed="81"/>
            <rFont val="돋움"/>
            <family val="3"/>
            <charset val="129"/>
          </rPr>
          <t>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
1: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민감</t>
        </r>
        <r>
          <rPr>
            <b/>
            <sz val="9"/>
            <color indexed="81"/>
            <rFont val="Tahoma"/>
            <family val="2"/>
          </rPr>
          <t xml:space="preserve">
…...
5: </t>
        </r>
        <r>
          <rPr>
            <b/>
            <sz val="9"/>
            <color indexed="81"/>
            <rFont val="돋움"/>
            <family val="3"/>
            <charset val="129"/>
          </rPr>
          <t xml:space="preserve">보통
</t>
        </r>
        <r>
          <rPr>
            <b/>
            <sz val="9"/>
            <color indexed="81"/>
            <rFont val="Tahoma"/>
            <family val="2"/>
          </rPr>
          <t>…....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10: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둔감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69043D99-7E71-4B4A-92BC-98A578653E29}">
      <text>
        <r>
          <rPr>
            <b/>
            <sz val="9"/>
            <color indexed="81"/>
            <rFont val="Tahoma"/>
            <family val="2"/>
          </rPr>
          <t xml:space="preserve">1: 10 lux
2: 20 lux
….
10: 100 lux
...
100: 1000 lux
...
255: 2550 lux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" authorId="1" shapeId="0" xr:uid="{0D4DD7D8-8944-45D4-B074-09EE845BFCD2}">
      <text>
        <r>
          <rPr>
            <b/>
            <sz val="9"/>
            <color indexed="81"/>
            <rFont val="Tahoma"/>
            <family val="2"/>
          </rPr>
          <t xml:space="preserve">1: 10 lux
2: 20 lux
….
10: 100 lux
...
100: 1000 lux
...
255: 2550 lux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<sst xmlns="http://schemas.openxmlformats.org/spreadsheetml/2006/main" count="89" uniqueCount="40">
  <si>
    <t>램프 동작
(Action Lamp)</t>
    <phoneticPr fontId="2" type="noConversion"/>
  </si>
  <si>
    <t>COMMAND</t>
    <phoneticPr fontId="2" type="noConversion"/>
  </si>
  <si>
    <t>DATA</t>
    <phoneticPr fontId="2" type="noConversion"/>
  </si>
  <si>
    <t>ASCII</t>
    <phoneticPr fontId="2" type="noConversion"/>
  </si>
  <si>
    <t>A</t>
    <phoneticPr fontId="2" type="noConversion"/>
  </si>
  <si>
    <t>DEC</t>
    <phoneticPr fontId="2" type="noConversion"/>
  </si>
  <si>
    <t>HEX</t>
    <phoneticPr fontId="2" type="noConversion"/>
  </si>
  <si>
    <t>최대 밝기</t>
    <phoneticPr fontId="2" type="noConversion"/>
  </si>
  <si>
    <t>최소밝기</t>
    <phoneticPr fontId="2" type="noConversion"/>
  </si>
  <si>
    <t>유지시간
(초)</t>
    <phoneticPr fontId="2" type="noConversion"/>
  </si>
  <si>
    <t>디밍시간
(초)</t>
    <phoneticPr fontId="2" type="noConversion"/>
  </si>
  <si>
    <t>최고조도</t>
    <phoneticPr fontId="2" type="noConversion"/>
  </si>
  <si>
    <t>최저조도</t>
    <phoneticPr fontId="2" type="noConversion"/>
  </si>
  <si>
    <t>도플러
감도</t>
    <phoneticPr fontId="2" type="noConversion"/>
  </si>
  <si>
    <t>OPCODE = 0xC082</t>
    <phoneticPr fontId="2" type="noConversion"/>
  </si>
  <si>
    <t>센서모드</t>
    <phoneticPr fontId="2" type="noConversion"/>
  </si>
  <si>
    <t>R</t>
    <phoneticPr fontId="2" type="noConversion"/>
  </si>
  <si>
    <t>E</t>
    <phoneticPr fontId="2" type="noConversion"/>
  </si>
  <si>
    <t>Q</t>
    <phoneticPr fontId="2" type="noConversion"/>
  </si>
  <si>
    <t>현재 상태값 요청</t>
    <phoneticPr fontId="2" type="noConversion"/>
  </si>
  <si>
    <t>LED 램프 상태값 요청 (스마트폰 -&gt; BLE)</t>
    <phoneticPr fontId="2" type="noConversion"/>
  </si>
  <si>
    <t>a</t>
    <phoneticPr fontId="2" type="noConversion"/>
  </si>
  <si>
    <t>LED 램프 상태값 응답 (BLE -&gt; 스마트폰)</t>
    <phoneticPr fontId="2" type="noConversion"/>
  </si>
  <si>
    <t>LED 램프 설정 응답 (BLE -&gt; 스마트폰)</t>
    <phoneticPr fontId="2" type="noConversion"/>
  </si>
  <si>
    <t>LED 램프 설정(스마트폰 -&gt; BLE)</t>
    <phoneticPr fontId="2" type="noConversion"/>
  </si>
  <si>
    <t>A</t>
    <phoneticPr fontId="2" type="noConversion"/>
  </si>
  <si>
    <t>C</t>
    <phoneticPr fontId="2" type="noConversion"/>
  </si>
  <si>
    <t>K</t>
    <phoneticPr fontId="2" type="noConversion"/>
  </si>
  <si>
    <t>설정 완료 응답</t>
    <phoneticPr fontId="2" type="noConversion"/>
  </si>
  <si>
    <t>OPCODE = 0xC182</t>
    <phoneticPr fontId="2" type="noConversion"/>
  </si>
  <si>
    <t>=================================================================================================</t>
    <phoneticPr fontId="2" type="noConversion"/>
  </si>
  <si>
    <t>LED 램프 설정값 저장 (스마트폰 -&gt; BLE)</t>
    <phoneticPr fontId="2" type="noConversion"/>
  </si>
  <si>
    <t>S</t>
    <phoneticPr fontId="2" type="noConversion"/>
  </si>
  <si>
    <t>V</t>
    <phoneticPr fontId="2" type="noConversion"/>
  </si>
  <si>
    <t>LED 램프 설정 저장 응답 (BLE -&gt; 스마트폰)</t>
    <phoneticPr fontId="2" type="noConversion"/>
  </si>
  <si>
    <t>s</t>
    <phoneticPr fontId="2" type="noConversion"/>
  </si>
  <si>
    <t>저장 완료 응답</t>
    <phoneticPr fontId="2" type="noConversion"/>
  </si>
  <si>
    <t xml:space="preserve">설정값 저장 </t>
    <phoneticPr fontId="2" type="noConversion"/>
  </si>
  <si>
    <t>저장
(Save)</t>
    <phoneticPr fontId="2" type="noConversion"/>
  </si>
  <si>
    <t>저장
(save)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</si>
</sst>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indexed="48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2" borderId="1" xfId="1" applyFont="1" applyBorder="1" applyAlignment="1">
      <alignment horizontal="center" vertical="center" wrapText="1"/>
    </xf>
    <xf numFmtId="0" fontId="9" fillId="2" borderId="3" xfId="1" applyFont="1" applyBorder="1" applyAlignment="1">
      <alignment horizontal="center" vertical="center"/>
    </xf>
    <xf numFmtId="0" fontId="9" fillId="2" borderId="3" xfId="1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" xfId="1" applyFont="1" applyBorder="1" applyAlignment="1">
      <alignment horizontal="center" vertical="center" wrapText="1"/>
    </xf>
    <xf numFmtId="0" fontId="9" fillId="2" borderId="2" xfId="1" applyFont="1" applyBorder="1" applyAlignment="1">
      <alignment horizontal="center" vertical="center" wrapText="1"/>
    </xf>
  </cellXfs>
  <cellStyles count="2">
    <cellStyle name="강조색6" xfId="1" builtinId="4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1</xdr:row>
      <xdr:rowOff>333375</xdr:rowOff>
    </xdr:from>
    <xdr:to>
      <xdr:col>18</xdr:col>
      <xdr:colOff>110259</xdr:colOff>
      <xdr:row>24</xdr:row>
      <xdr:rowOff>60036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F7323CBE-63B5-0FB7-BB8A-3392FCF617CE}"/>
            </a:ext>
          </a:extLst>
        </xdr:cNvPr>
        <xdr:cNvGrpSpPr/>
      </xdr:nvGrpSpPr>
      <xdr:grpSpPr>
        <a:xfrm>
          <a:off x="10325100" y="542925"/>
          <a:ext cx="3482109" cy="5203536"/>
          <a:chOff x="9896475" y="238125"/>
          <a:chExt cx="3482109" cy="4784436"/>
        </a:xfrm>
      </xdr:grpSpPr>
      <xdr:sp macro="" textlink="">
        <xdr:nvSpPr>
          <xdr:cNvPr id="2" name="사각형: 둥근 모서리 1">
            <a:extLst>
              <a:ext uri="{FF2B5EF4-FFF2-40B4-BE49-F238E27FC236}">
                <a16:creationId xmlns:a16="http://schemas.microsoft.com/office/drawing/2014/main" id="{4DA5275D-C3BD-0445-384A-C0D3A43B719E}"/>
              </a:ext>
            </a:extLst>
          </xdr:cNvPr>
          <xdr:cNvSpPr/>
        </xdr:nvSpPr>
        <xdr:spPr>
          <a:xfrm>
            <a:off x="9896475" y="238125"/>
            <a:ext cx="1052945" cy="905163"/>
          </a:xfrm>
          <a:prstGeom prst="roundRect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/>
              <a:t>스마트 기기</a:t>
            </a:r>
          </a:p>
        </xdr:txBody>
      </xdr:sp>
      <xdr:sp macro="" textlink="">
        <xdr:nvSpPr>
          <xdr:cNvPr id="3" name="사각형: 둥근 모서리 2">
            <a:extLst>
              <a:ext uri="{FF2B5EF4-FFF2-40B4-BE49-F238E27FC236}">
                <a16:creationId xmlns:a16="http://schemas.microsoft.com/office/drawing/2014/main" id="{097FF5BF-2E91-2FF1-E05F-8A8549FB6B80}"/>
              </a:ext>
            </a:extLst>
          </xdr:cNvPr>
          <xdr:cNvSpPr/>
        </xdr:nvSpPr>
        <xdr:spPr>
          <a:xfrm>
            <a:off x="12325639" y="238125"/>
            <a:ext cx="1052945" cy="905163"/>
          </a:xfrm>
          <a:prstGeom prst="roundRect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BLE</a:t>
            </a:r>
            <a:r>
              <a:rPr lang="ko-KR" altLang="en-US"/>
              <a:t> </a:t>
            </a:r>
            <a:endParaRPr lang="en-US" altLang="ko-KR"/>
          </a:p>
          <a:p>
            <a:pPr algn="ctr"/>
            <a:r>
              <a:rPr lang="ko-KR" altLang="en-US"/>
              <a:t>모듈</a:t>
            </a: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949B35D6-31D1-F843-F56A-B536E2FC15D4}"/>
              </a:ext>
            </a:extLst>
          </xdr:cNvPr>
          <xdr:cNvCxnSpPr>
            <a:stCxn id="2" idx="2"/>
          </xdr:cNvCxnSpPr>
        </xdr:nvCxnSpPr>
        <xdr:spPr>
          <a:xfrm flipH="1">
            <a:off x="10422947" y="1143288"/>
            <a:ext cx="1" cy="3805382"/>
          </a:xfrm>
          <a:prstGeom prst="line">
            <a:avLst/>
          </a:prstGeom>
          <a:ln w="7620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2634422B-EF9B-386C-16E3-2FD91BB46503}"/>
              </a:ext>
            </a:extLst>
          </xdr:cNvPr>
          <xdr:cNvCxnSpPr>
            <a:stCxn id="3" idx="2"/>
          </xdr:cNvCxnSpPr>
        </xdr:nvCxnSpPr>
        <xdr:spPr>
          <a:xfrm flipH="1">
            <a:off x="12852111" y="1143288"/>
            <a:ext cx="1" cy="3879273"/>
          </a:xfrm>
          <a:prstGeom prst="line">
            <a:avLst/>
          </a:prstGeom>
          <a:ln w="7620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E6360F3E-6041-635C-1659-33F5526A739A}"/>
              </a:ext>
            </a:extLst>
          </xdr:cNvPr>
          <xdr:cNvCxnSpPr/>
        </xdr:nvCxnSpPr>
        <xdr:spPr>
          <a:xfrm>
            <a:off x="10422947" y="2159288"/>
            <a:ext cx="2429164" cy="0"/>
          </a:xfrm>
          <a:prstGeom prst="straightConnector1">
            <a:avLst/>
          </a:prstGeom>
          <a:ln w="38100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직선 화살표 연결선 6">
            <a:extLst>
              <a:ext uri="{FF2B5EF4-FFF2-40B4-BE49-F238E27FC236}">
                <a16:creationId xmlns:a16="http://schemas.microsoft.com/office/drawing/2014/main" id="{C069BF9F-A47E-A3B6-3145-D772DF10A9D7}"/>
              </a:ext>
            </a:extLst>
          </xdr:cNvPr>
          <xdr:cNvCxnSpPr/>
        </xdr:nvCxnSpPr>
        <xdr:spPr>
          <a:xfrm flipH="1">
            <a:off x="10422947" y="2879725"/>
            <a:ext cx="2429164" cy="0"/>
          </a:xfrm>
          <a:prstGeom prst="straightConnector1">
            <a:avLst/>
          </a:prstGeom>
          <a:ln w="38100">
            <a:solidFill>
              <a:srgbClr val="00B05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15">
            <a:extLst>
              <a:ext uri="{FF2B5EF4-FFF2-40B4-BE49-F238E27FC236}">
                <a16:creationId xmlns:a16="http://schemas.microsoft.com/office/drawing/2014/main" id="{77E359AB-A6FA-AEAE-8DC9-BEFD2D3FDA7A}"/>
              </a:ext>
            </a:extLst>
          </xdr:cNvPr>
          <xdr:cNvSpPr txBox="1"/>
        </xdr:nvSpPr>
        <xdr:spPr>
          <a:xfrm>
            <a:off x="10949420" y="1789956"/>
            <a:ext cx="157941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/>
              <a:t>상태값 요청</a:t>
            </a:r>
          </a:p>
        </xdr:txBody>
      </xdr:sp>
      <xdr:sp macro="" textlink="">
        <xdr:nvSpPr>
          <xdr:cNvPr id="9" name="TextBox 16">
            <a:extLst>
              <a:ext uri="{FF2B5EF4-FFF2-40B4-BE49-F238E27FC236}">
                <a16:creationId xmlns:a16="http://schemas.microsoft.com/office/drawing/2014/main" id="{1D40DF65-60A3-6B36-DF52-57473A6F79B5}"/>
              </a:ext>
            </a:extLst>
          </xdr:cNvPr>
          <xdr:cNvSpPr txBox="1"/>
        </xdr:nvSpPr>
        <xdr:spPr>
          <a:xfrm>
            <a:off x="10949420" y="2528926"/>
            <a:ext cx="157941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/>
              <a:t>상태값 응답</a:t>
            </a:r>
          </a:p>
        </xdr:txBody>
      </xdr:sp>
      <xdr:cxnSp macro="">
        <xdr:nvCxnSpPr>
          <xdr:cNvPr id="10" name="직선 화살표 연결선 9">
            <a:extLst>
              <a:ext uri="{FF2B5EF4-FFF2-40B4-BE49-F238E27FC236}">
                <a16:creationId xmlns:a16="http://schemas.microsoft.com/office/drawing/2014/main" id="{51BA3461-DD7D-316A-86C9-A54CBD9C92FF}"/>
              </a:ext>
            </a:extLst>
          </xdr:cNvPr>
          <xdr:cNvCxnSpPr/>
        </xdr:nvCxnSpPr>
        <xdr:spPr>
          <a:xfrm>
            <a:off x="10422947" y="3618389"/>
            <a:ext cx="2429164" cy="0"/>
          </a:xfrm>
          <a:prstGeom prst="straightConnector1">
            <a:avLst/>
          </a:prstGeom>
          <a:ln w="38100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직선 화살표 연결선 10">
            <a:extLst>
              <a:ext uri="{FF2B5EF4-FFF2-40B4-BE49-F238E27FC236}">
                <a16:creationId xmlns:a16="http://schemas.microsoft.com/office/drawing/2014/main" id="{76F029C7-5DFE-F25F-7EF5-BC037FCE102D}"/>
              </a:ext>
            </a:extLst>
          </xdr:cNvPr>
          <xdr:cNvCxnSpPr/>
        </xdr:nvCxnSpPr>
        <xdr:spPr>
          <a:xfrm flipH="1">
            <a:off x="10422947" y="4338826"/>
            <a:ext cx="2429164" cy="0"/>
          </a:xfrm>
          <a:prstGeom prst="straightConnector1">
            <a:avLst/>
          </a:prstGeom>
          <a:ln w="38100">
            <a:solidFill>
              <a:srgbClr val="00B05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9">
            <a:extLst>
              <a:ext uri="{FF2B5EF4-FFF2-40B4-BE49-F238E27FC236}">
                <a16:creationId xmlns:a16="http://schemas.microsoft.com/office/drawing/2014/main" id="{E5C6CB80-D00F-CAC3-1635-F10ED9485AFC}"/>
              </a:ext>
            </a:extLst>
          </xdr:cNvPr>
          <xdr:cNvSpPr txBox="1"/>
        </xdr:nvSpPr>
        <xdr:spPr>
          <a:xfrm>
            <a:off x="10949420" y="3249057"/>
            <a:ext cx="157941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/>
              <a:t>설정</a:t>
            </a:r>
          </a:p>
        </xdr:txBody>
      </xdr:sp>
      <xdr:sp macro="" textlink="">
        <xdr:nvSpPr>
          <xdr:cNvPr id="13" name="TextBox 20">
            <a:extLst>
              <a:ext uri="{FF2B5EF4-FFF2-40B4-BE49-F238E27FC236}">
                <a16:creationId xmlns:a16="http://schemas.microsoft.com/office/drawing/2014/main" id="{5DB8751B-27E6-A00B-C105-2D6336FE0584}"/>
              </a:ext>
            </a:extLst>
          </xdr:cNvPr>
          <xdr:cNvSpPr txBox="1"/>
        </xdr:nvSpPr>
        <xdr:spPr>
          <a:xfrm>
            <a:off x="10949420" y="3988027"/>
            <a:ext cx="157941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/>
              <a:t>설정 응답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1556-747E-44E2-BA91-8F69603739DC}">
  <sheetPr>
    <pageSetUpPr fitToPage="1"/>
  </sheetPr>
  <dimension ref="A1:K47"/>
  <sheetViews>
    <sheetView tabSelected="1" zoomScaleNormal="100" workbookViewId="0">
      <selection activeCell="K28" sqref="K27:K28"/>
    </sheetView>
  </sheetViews>
  <sheetFormatPr defaultRowHeight="16.5" x14ac:dyDescent="0.3"/>
  <cols>
    <col min="2" max="2" width="20" customWidth="1"/>
    <col min="3" max="11" width="9.75" customWidth="1"/>
  </cols>
  <sheetData>
    <row r="1" spans="1:11" x14ac:dyDescent="0.3">
      <c r="B1" s="1" t="s">
        <v>20</v>
      </c>
      <c r="E1" t="s">
        <v>14</v>
      </c>
    </row>
    <row r="2" spans="1:11" ht="33.75" customHeight="1" x14ac:dyDescent="0.3">
      <c r="B2" s="6" t="s">
        <v>0</v>
      </c>
      <c r="C2" s="11" t="s">
        <v>19</v>
      </c>
      <c r="D2" s="12"/>
      <c r="E2" s="12"/>
    </row>
    <row r="3" spans="1:11" x14ac:dyDescent="0.3">
      <c r="B3" s="5" t="s">
        <v>1</v>
      </c>
      <c r="C3" s="2" t="s">
        <v>2</v>
      </c>
      <c r="D3" s="3"/>
      <c r="E3" s="3"/>
    </row>
    <row r="4" spans="1:11" x14ac:dyDescent="0.3">
      <c r="A4" t="s">
        <v>3</v>
      </c>
      <c r="B4" s="4" t="s">
        <v>4</v>
      </c>
      <c r="C4" s="4" t="s">
        <v>16</v>
      </c>
      <c r="D4" s="4" t="s">
        <v>17</v>
      </c>
      <c r="E4" s="4" t="s">
        <v>18</v>
      </c>
    </row>
    <row r="5" spans="1:11" x14ac:dyDescent="0.3">
      <c r="A5" t="s">
        <v>5</v>
      </c>
      <c r="B5" s="4">
        <f t="shared" ref="B5:D5" si="0">CODE(B4)</f>
        <v>65</v>
      </c>
      <c r="C5" s="4">
        <f t="shared" si="0"/>
        <v>82</v>
      </c>
      <c r="D5" s="4">
        <f t="shared" si="0"/>
        <v>69</v>
      </c>
      <c r="E5" s="4">
        <f t="shared" ref="E5" si="1">CODE(E4)</f>
        <v>81</v>
      </c>
    </row>
    <row r="6" spans="1:11" x14ac:dyDescent="0.3">
      <c r="A6" t="s">
        <v>6</v>
      </c>
      <c r="B6" s="4" t="str">
        <f t="shared" ref="B6" si="2">DEC2HEX(B5,2)</f>
        <v>41</v>
      </c>
      <c r="C6" s="4" t="str">
        <f>DEC2HEX(C5,2)</f>
        <v>52</v>
      </c>
      <c r="D6" s="4" t="str">
        <f>DEC2HEX(D5,2)</f>
        <v>45</v>
      </c>
      <c r="E6" s="4" t="str">
        <f t="shared" ref="E6" si="3">DEC2HEX(E5,2)</f>
        <v>51</v>
      </c>
    </row>
    <row r="8" spans="1:11" x14ac:dyDescent="0.3">
      <c r="B8" s="1" t="s">
        <v>22</v>
      </c>
      <c r="E8" t="s">
        <v>29</v>
      </c>
    </row>
    <row r="9" spans="1:11" ht="33.75" customHeight="1" x14ac:dyDescent="0.3">
      <c r="B9" s="6" t="s">
        <v>0</v>
      </c>
      <c r="C9" s="7" t="s">
        <v>7</v>
      </c>
      <c r="D9" s="7" t="s">
        <v>8</v>
      </c>
      <c r="E9" s="15" t="s">
        <v>9</v>
      </c>
      <c r="F9" s="16"/>
      <c r="G9" s="8" t="s">
        <v>10</v>
      </c>
      <c r="H9" s="8" t="s">
        <v>15</v>
      </c>
      <c r="I9" s="8" t="s">
        <v>13</v>
      </c>
      <c r="J9" s="7" t="s">
        <v>11</v>
      </c>
      <c r="K9" s="7" t="s">
        <v>12</v>
      </c>
    </row>
    <row r="10" spans="1:11" x14ac:dyDescent="0.3">
      <c r="B10" s="5" t="s">
        <v>1</v>
      </c>
      <c r="C10" s="2" t="s">
        <v>2</v>
      </c>
      <c r="D10" s="3"/>
      <c r="E10" s="3"/>
      <c r="F10" s="3"/>
      <c r="G10" s="3"/>
      <c r="H10" s="3"/>
      <c r="I10" s="3"/>
      <c r="J10" s="3"/>
      <c r="K10" s="9"/>
    </row>
    <row r="11" spans="1:11" x14ac:dyDescent="0.3">
      <c r="A11" t="s">
        <v>3</v>
      </c>
      <c r="B11" s="4" t="s">
        <v>21</v>
      </c>
      <c r="C11" s="4" t="str">
        <f t="shared" ref="C11:K11" si="4">IF(C12=0,"null",CHAR(C12))</f>
        <v>d</v>
      </c>
      <c r="D11" s="4" t="str">
        <f t="shared" si="4"/>
        <v xml:space="preserve">
</v>
      </c>
      <c r="E11" s="4" t="str">
        <f t="shared" si="4"/>
        <v>null</v>
      </c>
      <c r="F11" s="4" t="str">
        <f t="shared" si="4"/>
        <v xml:space="preserve">
</v>
      </c>
      <c r="G11" s="4" t="str">
        <f t="shared" si="4"/>
        <v xml:space="preserve">
</v>
      </c>
      <c r="H11" s="4" t="str">
        <f t="shared" si="4"/>
        <v>_x0003_</v>
      </c>
      <c r="I11" s="4" t="str">
        <f t="shared" si="4"/>
        <v>_x0005_</v>
      </c>
      <c r="J11" s="4" t="str">
        <f t="shared" si="4"/>
        <v>d</v>
      </c>
      <c r="K11" s="4" t="str">
        <f t="shared" si="4"/>
        <v>_x0002_</v>
      </c>
    </row>
    <row r="12" spans="1:11" x14ac:dyDescent="0.3">
      <c r="A12" t="s">
        <v>5</v>
      </c>
      <c r="B12" s="4">
        <f t="shared" ref="B12" si="5">CODE(B11)</f>
        <v>97</v>
      </c>
      <c r="C12" s="4">
        <v>100</v>
      </c>
      <c r="D12" s="4">
        <v>10</v>
      </c>
      <c r="E12" s="4">
        <v>0</v>
      </c>
      <c r="F12" s="4">
        <v>10</v>
      </c>
      <c r="G12" s="4">
        <v>10</v>
      </c>
      <c r="H12" s="4">
        <v>3</v>
      </c>
      <c r="I12" s="4">
        <v>5</v>
      </c>
      <c r="J12" s="4">
        <v>100</v>
      </c>
      <c r="K12" s="4">
        <v>2</v>
      </c>
    </row>
    <row r="13" spans="1:11" x14ac:dyDescent="0.3">
      <c r="A13" t="s">
        <v>6</v>
      </c>
      <c r="B13" s="4" t="str">
        <f t="shared" ref="B13" si="6">DEC2HEX(B12,2)</f>
        <v>61</v>
      </c>
      <c r="C13" s="4" t="str">
        <f>DEC2HEX(C12,2)</f>
        <v>64</v>
      </c>
      <c r="D13" s="4" t="str">
        <f>DEC2HEX(D12,2)</f>
        <v>0A</v>
      </c>
      <c r="E13" s="4" t="str">
        <f t="shared" ref="E13:H13" si="7">DEC2HEX(E12,2)</f>
        <v>00</v>
      </c>
      <c r="F13" s="4" t="str">
        <f t="shared" si="7"/>
        <v>0A</v>
      </c>
      <c r="G13" s="4" t="str">
        <f t="shared" si="7"/>
        <v>0A</v>
      </c>
      <c r="H13" s="4" t="str">
        <f t="shared" si="7"/>
        <v>03</v>
      </c>
      <c r="I13" s="4" t="str">
        <f>DEC2HEX(I12,2)</f>
        <v>05</v>
      </c>
      <c r="J13" s="4" t="str">
        <f t="shared" ref="J13:K13" si="8">DEC2HEX(J12,2)</f>
        <v>64</v>
      </c>
      <c r="K13" s="4" t="str">
        <f t="shared" si="8"/>
        <v>02</v>
      </c>
    </row>
    <row r="14" spans="1:1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3" t="s">
        <v>30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7" spans="1:11" x14ac:dyDescent="0.3">
      <c r="B17" s="1" t="s">
        <v>24</v>
      </c>
      <c r="E17" t="s">
        <v>14</v>
      </c>
    </row>
    <row r="18" spans="1:11" ht="33.75" customHeight="1" x14ac:dyDescent="0.3">
      <c r="B18" s="6" t="s">
        <v>0</v>
      </c>
      <c r="C18" s="7" t="s">
        <v>7</v>
      </c>
      <c r="D18" s="7" t="s">
        <v>8</v>
      </c>
      <c r="E18" s="15" t="s">
        <v>9</v>
      </c>
      <c r="F18" s="16"/>
      <c r="G18" s="8" t="s">
        <v>10</v>
      </c>
      <c r="H18" s="8" t="s">
        <v>15</v>
      </c>
      <c r="I18" s="8" t="s">
        <v>13</v>
      </c>
      <c r="J18" s="7" t="s">
        <v>11</v>
      </c>
      <c r="K18" s="7" t="s">
        <v>12</v>
      </c>
    </row>
    <row r="19" spans="1:11" x14ac:dyDescent="0.3">
      <c r="B19" s="5" t="s">
        <v>1</v>
      </c>
      <c r="C19" s="2" t="s">
        <v>2</v>
      </c>
      <c r="D19" s="3"/>
      <c r="E19" s="3"/>
      <c r="F19" s="3"/>
      <c r="G19" s="3"/>
      <c r="H19" s="3"/>
      <c r="I19" s="3"/>
      <c r="J19" s="3"/>
      <c r="K19" s="9"/>
    </row>
    <row r="20" spans="1:11" x14ac:dyDescent="0.3">
      <c r="A20" t="s">
        <v>3</v>
      </c>
      <c r="B20" s="4" t="s">
        <v>4</v>
      </c>
      <c r="C20" s="4" t="str">
        <f t="shared" ref="C20:K20" si="9">IF(C21=0,"null",CHAR(C21))</f>
        <v>d</v>
      </c>
      <c r="D20" s="4" t="str">
        <f t="shared" si="9"/>
        <v xml:space="preserve">
</v>
      </c>
      <c r="E20" s="4" t="str">
        <f t="shared" si="9"/>
        <v>null</v>
      </c>
      <c r="F20" s="4" t="str">
        <f t="shared" si="9"/>
        <v xml:space="preserve">
</v>
      </c>
      <c r="G20" s="4" t="str">
        <f t="shared" si="9"/>
        <v xml:space="preserve">
</v>
      </c>
      <c r="H20" s="4" t="str">
        <f t="shared" si="9"/>
        <v>_x0003_</v>
      </c>
      <c r="I20" s="4" t="str">
        <f t="shared" si="9"/>
        <v>_x0005_</v>
      </c>
      <c r="J20" s="4" t="str">
        <f t="shared" si="9"/>
        <v>d</v>
      </c>
      <c r="K20" s="4" t="str">
        <f t="shared" si="9"/>
        <v>_x0002_</v>
      </c>
    </row>
    <row r="21" spans="1:11" x14ac:dyDescent="0.3">
      <c r="A21" t="s">
        <v>5</v>
      </c>
      <c r="B21" s="4">
        <f t="shared" ref="B21" si="10">CODE(B20)</f>
        <v>65</v>
      </c>
      <c r="C21" s="4">
        <v>100</v>
      </c>
      <c r="D21" s="4">
        <v>10</v>
      </c>
      <c r="E21" s="4">
        <v>0</v>
      </c>
      <c r="F21" s="4">
        <v>10</v>
      </c>
      <c r="G21" s="4">
        <v>10</v>
      </c>
      <c r="H21" s="4">
        <v>3</v>
      </c>
      <c r="I21" s="4">
        <v>5</v>
      </c>
      <c r="J21" s="4">
        <v>100</v>
      </c>
      <c r="K21" s="4">
        <v>2</v>
      </c>
    </row>
    <row r="22" spans="1:11" x14ac:dyDescent="0.3">
      <c r="A22" t="s">
        <v>6</v>
      </c>
      <c r="B22" s="4" t="str">
        <f t="shared" ref="B22" si="11">DEC2HEX(B21,2)</f>
        <v>41</v>
      </c>
      <c r="C22" s="4" t="str">
        <f>DEC2HEX(C21,2)</f>
        <v>64</v>
      </c>
      <c r="D22" s="4" t="str">
        <f>DEC2HEX(D21,2)</f>
        <v>0A</v>
      </c>
      <c r="E22" s="4" t="str">
        <f t="shared" ref="E22:G22" si="12">DEC2HEX(E21,2)</f>
        <v>00</v>
      </c>
      <c r="F22" s="4" t="str">
        <f t="shared" si="12"/>
        <v>0A</v>
      </c>
      <c r="G22" s="4" t="str">
        <f t="shared" si="12"/>
        <v>0A</v>
      </c>
      <c r="H22" s="4" t="str">
        <f t="shared" ref="H22" si="13">DEC2HEX(H21,2)</f>
        <v>03</v>
      </c>
      <c r="I22" s="4" t="str">
        <f>DEC2HEX(I21,2)</f>
        <v>05</v>
      </c>
      <c r="J22" s="4" t="str">
        <f t="shared" ref="J22:K22" si="14">DEC2HEX(J21,2)</f>
        <v>64</v>
      </c>
      <c r="K22" s="4" t="str">
        <f t="shared" si="14"/>
        <v>02</v>
      </c>
    </row>
    <row r="24" spans="1:11" x14ac:dyDescent="0.3">
      <c r="B24" s="1" t="s">
        <v>23</v>
      </c>
      <c r="E24" t="s">
        <v>29</v>
      </c>
    </row>
    <row r="25" spans="1:11" ht="33.75" customHeight="1" x14ac:dyDescent="0.3">
      <c r="B25" s="6" t="s">
        <v>0</v>
      </c>
      <c r="C25" s="11" t="s">
        <v>28</v>
      </c>
      <c r="D25" s="12"/>
      <c r="E25" s="12"/>
    </row>
    <row r="26" spans="1:11" x14ac:dyDescent="0.3">
      <c r="B26" s="5" t="s">
        <v>1</v>
      </c>
      <c r="C26" s="2" t="s">
        <v>2</v>
      </c>
      <c r="D26" s="3"/>
      <c r="E26" s="3"/>
    </row>
    <row r="27" spans="1:11" x14ac:dyDescent="0.3">
      <c r="A27" t="s">
        <v>3</v>
      </c>
      <c r="B27" s="4" t="s">
        <v>21</v>
      </c>
      <c r="C27" s="4" t="s">
        <v>25</v>
      </c>
      <c r="D27" s="4" t="s">
        <v>26</v>
      </c>
      <c r="E27" s="4" t="s">
        <v>27</v>
      </c>
    </row>
    <row r="28" spans="1:11" x14ac:dyDescent="0.3">
      <c r="A28" t="s">
        <v>5</v>
      </c>
      <c r="B28" s="4">
        <f t="shared" ref="B28:E28" si="15">CODE(B27)</f>
        <v>97</v>
      </c>
      <c r="C28" s="4">
        <f t="shared" si="15"/>
        <v>65</v>
      </c>
      <c r="D28" s="4">
        <f t="shared" si="15"/>
        <v>67</v>
      </c>
      <c r="E28" s="4">
        <f t="shared" si="15"/>
        <v>75</v>
      </c>
    </row>
    <row r="29" spans="1:11" x14ac:dyDescent="0.3">
      <c r="A29" t="s">
        <v>6</v>
      </c>
      <c r="B29" s="4" t="str">
        <f t="shared" ref="B29" si="16">DEC2HEX(B28,2)</f>
        <v>61</v>
      </c>
      <c r="C29" s="4" t="str">
        <f>DEC2HEX(C28,2)</f>
        <v>41</v>
      </c>
      <c r="D29" s="4" t="str">
        <f>DEC2HEX(D28,2)</f>
        <v>43</v>
      </c>
      <c r="E29" s="4" t="str">
        <f t="shared" ref="E29" si="17">DEC2HEX(E28,2)</f>
        <v>4B</v>
      </c>
    </row>
    <row r="30" spans="1:11" x14ac:dyDescent="0.3">
      <c r="B30" s="10"/>
      <c r="C30" s="10"/>
      <c r="D30" s="10"/>
      <c r="E30" s="10"/>
    </row>
    <row r="31" spans="1:11" x14ac:dyDescent="0.3">
      <c r="A31" s="13" t="s">
        <v>30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3" spans="1:11" x14ac:dyDescent="0.3">
      <c r="B33" s="1" t="s">
        <v>31</v>
      </c>
      <c r="E33" t="s">
        <v>14</v>
      </c>
    </row>
    <row r="34" spans="1:11" ht="33.75" customHeight="1" x14ac:dyDescent="0.3">
      <c r="B34" s="6" t="s">
        <v>38</v>
      </c>
      <c r="C34" s="11" t="s">
        <v>37</v>
      </c>
      <c r="D34" s="12"/>
      <c r="E34" s="12"/>
    </row>
    <row r="35" spans="1:11" x14ac:dyDescent="0.3">
      <c r="B35" s="5" t="s">
        <v>1</v>
      </c>
      <c r="C35" s="2" t="s">
        <v>2</v>
      </c>
      <c r="D35" s="3"/>
      <c r="E35" s="3"/>
    </row>
    <row r="36" spans="1:11" x14ac:dyDescent="0.3">
      <c r="A36" t="s">
        <v>3</v>
      </c>
      <c r="B36" s="4" t="s">
        <v>32</v>
      </c>
      <c r="C36" s="4" t="s">
        <v>4</v>
      </c>
      <c r="D36" s="4" t="s">
        <v>33</v>
      </c>
      <c r="E36" s="4" t="s">
        <v>17</v>
      </c>
    </row>
    <row r="37" spans="1:11" x14ac:dyDescent="0.3">
      <c r="A37" t="s">
        <v>5</v>
      </c>
      <c r="B37" s="4">
        <f t="shared" ref="B37:E37" si="18">CODE(B36)</f>
        <v>83</v>
      </c>
      <c r="C37" s="4">
        <f t="shared" si="18"/>
        <v>65</v>
      </c>
      <c r="D37" s="4">
        <f t="shared" si="18"/>
        <v>86</v>
      </c>
      <c r="E37" s="4">
        <f t="shared" si="18"/>
        <v>69</v>
      </c>
    </row>
    <row r="38" spans="1:11" x14ac:dyDescent="0.3">
      <c r="A38" t="s">
        <v>6</v>
      </c>
      <c r="B38" s="4" t="str">
        <f t="shared" ref="B38" si="19">DEC2HEX(B37,2)</f>
        <v>53</v>
      </c>
      <c r="C38" s="4" t="str">
        <f>DEC2HEX(C37,2)</f>
        <v>41</v>
      </c>
      <c r="D38" s="4" t="str">
        <f>DEC2HEX(D37,2)</f>
        <v>56</v>
      </c>
      <c r="E38" s="4" t="str">
        <f t="shared" ref="E38" si="20">DEC2HEX(E37,2)</f>
        <v>45</v>
      </c>
    </row>
    <row r="40" spans="1:11" x14ac:dyDescent="0.3">
      <c r="B40" s="1" t="s">
        <v>34</v>
      </c>
      <c r="E40" t="s">
        <v>29</v>
      </c>
    </row>
    <row r="41" spans="1:11" ht="33.75" customHeight="1" x14ac:dyDescent="0.3">
      <c r="B41" s="6" t="s">
        <v>39</v>
      </c>
      <c r="C41" s="11" t="s">
        <v>36</v>
      </c>
      <c r="D41" s="12"/>
      <c r="E41" s="12"/>
    </row>
    <row r="42" spans="1:11" x14ac:dyDescent="0.3">
      <c r="B42" s="5" t="s">
        <v>1</v>
      </c>
      <c r="C42" s="2" t="s">
        <v>2</v>
      </c>
      <c r="D42" s="3"/>
      <c r="E42" s="3"/>
    </row>
    <row r="43" spans="1:11" x14ac:dyDescent="0.3">
      <c r="A43" t="s">
        <v>3</v>
      </c>
      <c r="B43" s="4" t="s">
        <v>35</v>
      </c>
      <c r="C43" s="4" t="s">
        <v>4</v>
      </c>
      <c r="D43" s="4" t="s">
        <v>26</v>
      </c>
      <c r="E43" s="4" t="s">
        <v>27</v>
      </c>
    </row>
    <row r="44" spans="1:11" x14ac:dyDescent="0.3">
      <c r="A44" t="s">
        <v>5</v>
      </c>
      <c r="B44" s="4">
        <f t="shared" ref="B44:E44" si="21">CODE(B43)</f>
        <v>115</v>
      </c>
      <c r="C44" s="4">
        <f t="shared" si="21"/>
        <v>65</v>
      </c>
      <c r="D44" s="4">
        <f t="shared" si="21"/>
        <v>67</v>
      </c>
      <c r="E44" s="4">
        <f t="shared" si="21"/>
        <v>75</v>
      </c>
    </row>
    <row r="45" spans="1:11" x14ac:dyDescent="0.3">
      <c r="A45" t="s">
        <v>6</v>
      </c>
      <c r="B45" s="4" t="str">
        <f t="shared" ref="B45" si="22">DEC2HEX(B44,2)</f>
        <v>73</v>
      </c>
      <c r="C45" s="4" t="str">
        <f>DEC2HEX(C44,2)</f>
        <v>41</v>
      </c>
      <c r="D45" s="4" t="str">
        <f>DEC2HEX(D44,2)</f>
        <v>43</v>
      </c>
      <c r="E45" s="4" t="str">
        <f t="shared" ref="E45" si="23">DEC2HEX(E44,2)</f>
        <v>4B</v>
      </c>
    </row>
    <row r="47" spans="1:11" x14ac:dyDescent="0.3">
      <c r="A47" s="13" t="s">
        <v>30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mergeCells count="9">
    <mergeCell ref="C2:E2"/>
    <mergeCell ref="E9:F9"/>
    <mergeCell ref="C25:E25"/>
    <mergeCell ref="C34:E34"/>
    <mergeCell ref="C41:E41"/>
    <mergeCell ref="A31:K31"/>
    <mergeCell ref="A15:K15"/>
    <mergeCell ref="A47:K47"/>
    <mergeCell ref="E18:F18"/>
  </mergeCells>
  <phoneticPr fontId="2" type="noConversion"/>
  <pageMargins left="0.7" right="0.7" top="0.75" bottom="0.75" header="0.3" footer="0.3"/>
  <pageSetup paperSize="9" scale="54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jongmin nam</dc:creator>
  <cp:lastModifiedBy>jongmin nam</cp:lastModifiedBy>
  <cp:lastPrinted>2024-11-08T01:34:08Z</cp:lastPrinted>
  <dcterms:created xsi:type="dcterms:W3CDTF">2024-09-19T00:38:52Z</dcterms:created>
  <dcterms:modified xsi:type="dcterms:W3CDTF">2026-02-06T14:40:32Z</dcterms:modified>
</cp:coreProperties>
</file>